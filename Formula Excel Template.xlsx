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1510797-AE4F-44F1-9050-2A69386F3179}" xr6:coauthVersionLast="47" xr6:coauthVersionMax="47" xr10:uidLastSave="{00000000-0000-0000-0000-000000000000}"/>
  <bookViews>
    <workbookView xWindow="9510" yWindow="0" windowWidth="9780" windowHeight="10890" firstSheet="1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3" l="1"/>
  <c r="K2" i="13"/>
  <c r="J2" i="13"/>
  <c r="F13" i="5"/>
  <c r="E13" i="5"/>
  <c r="K2" i="5"/>
  <c r="J2" i="5"/>
  <c r="G14" i="12"/>
  <c r="L2" i="12"/>
  <c r="K2" i="12"/>
  <c r="J2" i="12"/>
  <c r="J3" i="7"/>
  <c r="J4" i="7"/>
  <c r="J5" i="7"/>
  <c r="J6" i="7"/>
  <c r="J7" i="7"/>
  <c r="J8" i="7"/>
  <c r="J9" i="7"/>
  <c r="J10" i="7"/>
  <c r="J2" i="7"/>
  <c r="K3" i="7"/>
  <c r="K4" i="7"/>
  <c r="K5" i="7"/>
  <c r="K6" i="7"/>
  <c r="K7" i="7"/>
  <c r="K8" i="7"/>
  <c r="K9" i="7"/>
  <c r="K10" i="7"/>
  <c r="K2" i="7"/>
  <c r="L3" i="7"/>
  <c r="L4" i="7"/>
  <c r="L5" i="7"/>
  <c r="L6" i="7"/>
  <c r="L7" i="7"/>
  <c r="L8" i="7"/>
  <c r="L9" i="7"/>
  <c r="L10" i="7"/>
  <c r="L2" i="7"/>
  <c r="L3" i="1"/>
  <c r="L4" i="1"/>
  <c r="L5" i="1"/>
  <c r="L6" i="1"/>
  <c r="L7" i="1"/>
  <c r="L8" i="1"/>
  <c r="L9" i="1"/>
  <c r="L10" i="1"/>
  <c r="L2" i="1"/>
  <c r="K3" i="1"/>
  <c r="K4" i="1"/>
  <c r="K5" i="1"/>
  <c r="K6" i="1"/>
  <c r="K7" i="1"/>
  <c r="K8" i="1"/>
  <c r="K9" i="1"/>
  <c r="K10" i="1"/>
  <c r="K11" i="1"/>
  <c r="K12" i="1"/>
  <c r="K2" i="1"/>
  <c r="J2" i="1"/>
  <c r="J3" i="1"/>
  <c r="J4" i="1"/>
  <c r="J5" i="1"/>
  <c r="J6" i="1"/>
  <c r="J7" i="1"/>
  <c r="J8" i="1"/>
  <c r="J9" i="1"/>
  <c r="J10" i="1"/>
  <c r="J3" i="6"/>
  <c r="J4" i="6"/>
  <c r="J5" i="6"/>
  <c r="J6" i="6"/>
  <c r="J7" i="6"/>
  <c r="J8" i="6"/>
  <c r="J9" i="6"/>
  <c r="J10" i="6"/>
  <c r="J2" i="6"/>
  <c r="N2" i="3"/>
  <c r="M3" i="3"/>
  <c r="M4" i="3"/>
  <c r="M5" i="3"/>
  <c r="M6" i="3"/>
  <c r="M7" i="3"/>
  <c r="M8" i="3"/>
  <c r="M9" i="3"/>
  <c r="M10" i="3"/>
  <c r="M2" i="3"/>
  <c r="L10" i="3"/>
  <c r="L9" i="3"/>
  <c r="L8" i="3"/>
  <c r="L7" i="3"/>
  <c r="L6" i="3"/>
  <c r="L5" i="3"/>
  <c r="L4" i="3"/>
  <c r="L3" i="3"/>
  <c r="L2" i="3"/>
  <c r="J2" i="3"/>
  <c r="J3" i="3"/>
  <c r="J4" i="3"/>
  <c r="J5" i="3"/>
  <c r="J6" i="3"/>
  <c r="J7" i="3"/>
  <c r="J8" i="3"/>
  <c r="J9" i="3"/>
  <c r="J10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2" i="8"/>
  <c r="J3" i="8"/>
  <c r="J4" i="8"/>
  <c r="J5" i="8"/>
  <c r="J6" i="8"/>
  <c r="J7" i="8"/>
  <c r="J8" i="8"/>
  <c r="J9" i="8"/>
  <c r="J10" i="8"/>
  <c r="G12" i="9"/>
  <c r="H12" i="9"/>
  <c r="J2" i="9"/>
  <c r="H11" i="1"/>
  <c r="H12" i="1"/>
</calcChain>
</file>

<file path=xl/sharedStrings.xml><?xml version="1.0" encoding="utf-8"?>
<sst xmlns="http://schemas.openxmlformats.org/spreadsheetml/2006/main" count="584" uniqueCount="91">
  <si>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</si>
  <si>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</si>
  <si>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</si>
  <si>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</si>
  <si>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</si>
  <si>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</si>
  <si>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</si>
  <si>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</si>
  <si>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</si>
  <si>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</si>
  <si>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</si>
  <si>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</si>
  <si>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</si>
  <si>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</si>
  <si>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</si>
  <si>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</si>
  <si>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</si>
  <si>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</si>
  <si>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</si>
  <si>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</si>
  <si>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</si>
  <si>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</si>
  <si>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</si>
  <si>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</si>
  <si>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</si>
  <si>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</si>
  <si>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</si>
  <si>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</si>
  <si>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</si>
  <si>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</si>
  <si>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</si>
  <si>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</si>
  <si>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</si>
  <si>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</si>
  <si>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</si>
  <si>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</si>
  <si>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</si>
  <si>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</si>
  <si>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</si>
  <si>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</si>
  <si>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</si>
  <si>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</si>
  <si>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</si>
  <si>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</si>
  <si>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</si>
  <si>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</si>
  <si>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</si>
  <si>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</si>
  <si>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</si>
  <si>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</si>
  <si>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</si>
  <si>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</si>
  <si>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</si>
  <si>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</si>
  <si>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</si>
  <si>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</si>
  <si>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</si>
  <si>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</si>
  <si>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</si>
  <si>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</si>
  <si>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</si>
  <si>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</si>
  <si>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</si>
  <si>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</si>
  <si>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</si>
  <si>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</si>
  <si>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</si>
  <si>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</si>
  <si>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</si>
  <si>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</si>
  <si>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</si>
  <si>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</si>
  <si>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</si>
  <si>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</si>
  <si>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</si>
  <si>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</si>
  <si>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</si>
  <si>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</si>
  <si>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</si>
  <si>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</si>
  <si>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</si>
  <si>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</si>
  <si>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</si>
  <si>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</si>
  <si>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</si>
  <si>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</si>
  <si>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</si>
  <si>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</si>
  <si>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=text(I2:I10,"dd/mm/yyyy")</t>
  </si>
  <si>
    <t>1-5-2000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</si>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</sst>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2"/>
  <sheetViews>
    <sheetView topLeftCell="C1" zoomScaleNormal="100" workbookViewId="0">
      <selection activeCell="G13" sqref="G1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/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2" spans="1:11" x14ac:dyDescent="0.35">
      <c r="G12">
        <f>MAX(G2:G10)</f>
        <v>65000</v>
      </c>
      <c r="H12" s="1">
        <f>MIN(H2:H10)</f>
        <v>35040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G1" zoomScale="84" workbookViewId="0">
      <selection activeCell="L2" sqref="L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J4</f>
        <v>young</v>
      </c>
      <c r="K2" t="str">
        <f>IF(F2:F10="salesman","sales")</f>
        <v>sales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b">
        <f t="shared" ref="K3:K10" si="1">IF(F3:F11="salesman","sales")</f>
        <v>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sales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b">
        <f t="shared" si="1"/>
        <v>0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b">
        <f t="shared" si="1"/>
        <v>0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b">
        <f t="shared" si="1"/>
        <v>0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b">
        <f t="shared" si="1"/>
        <v>0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sales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b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F1" workbookViewId="0">
      <selection activeCell="J2" sqref="J2:J10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LEN(F2:F10)</f>
        <v>8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LEN(F3:F11)</f>
        <v>12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8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10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2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16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18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8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H1" zoomScale="74" workbookViewId="0">
      <selection activeCell="M2" sqref="M2:M10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LEFT(J2:J10,6)</f>
        <v>Jim.Ha</v>
      </c>
      <c r="L2" t="str">
        <f>RIGHT(H2:H10,4)</f>
        <v>2001</v>
      </c>
      <c r="M2" t="str">
        <f>RIGHT(I2:I10,4)</f>
        <v>2015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LEFT(J3:J11,6)</f>
        <v>Pam.Be</v>
      </c>
      <c r="L3" t="str">
        <f t="shared" ref="L3:L10" si="1">RIGHT(H3:H11,4)</f>
        <v>1999</v>
      </c>
      <c r="M3" t="str">
        <f t="shared" ref="M3:M10" si="2">RIGHT(I3:I11,4)</f>
        <v>2015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Dwight</v>
      </c>
      <c r="L4" t="str">
        <f t="shared" si="1"/>
        <v>2000</v>
      </c>
      <c r="M4" t="str">
        <f t="shared" si="2"/>
        <v>2017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Angela</v>
      </c>
      <c r="L5" t="str">
        <f t="shared" si="1"/>
        <v>2000</v>
      </c>
      <c r="M5" t="str">
        <f t="shared" si="2"/>
        <v>2015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Toby.F</v>
      </c>
      <c r="L6" t="str">
        <f t="shared" si="1"/>
        <v>2001</v>
      </c>
      <c r="M6" t="str">
        <f t="shared" si="2"/>
        <v>2017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Michae</v>
      </c>
      <c r="L7" t="str">
        <f t="shared" si="1"/>
        <v>2001</v>
      </c>
      <c r="M7" t="str">
        <f t="shared" si="2"/>
        <v>2013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Meredi</v>
      </c>
      <c r="L8" t="str">
        <f t="shared" si="1"/>
        <v>2003</v>
      </c>
      <c r="M8" t="str">
        <f t="shared" si="2"/>
        <v>2013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Stanle</v>
      </c>
      <c r="L9" t="str">
        <f t="shared" si="1"/>
        <v>2002</v>
      </c>
      <c r="M9" t="str">
        <f t="shared" si="2"/>
        <v>2015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Kevin.</v>
      </c>
      <c r="L10" t="str">
        <f t="shared" si="1"/>
        <v>2003</v>
      </c>
      <c r="M10" t="str">
        <f t="shared" si="2"/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N13"/>
  <sheetViews>
    <sheetView topLeftCell="J1" workbookViewId="0">
      <selection activeCell="N3" sqref="N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4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4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2" t="s">
        <v>88</v>
      </c>
      <c r="L2" t="str">
        <f>TEXT(J2:J10,"dd/mm/yyyy")</f>
        <v>11/02/2001</v>
      </c>
      <c r="M2" t="str">
        <f>RIGHT(L2:L10,4)</f>
        <v>2001</v>
      </c>
      <c r="N2" t="str">
        <f>TEXT(I2:I10,"yyyy/mm/dd")</f>
        <v>2015/09/06</v>
      </c>
    </row>
    <row r="3" spans="1:14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TEXT(H3:H11,"dd/mm/yyyy")</f>
        <v>03/10/1999</v>
      </c>
      <c r="K3" s="2"/>
      <c r="L3" t="str">
        <f t="shared" si="0"/>
        <v>10/03/1999</v>
      </c>
      <c r="M3" t="str">
        <f t="shared" ref="M3:M10" si="1">RIGHT(L3:L11,4)</f>
        <v>1999</v>
      </c>
    </row>
    <row r="4" spans="1:14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  <c r="L4" t="str">
        <f t="shared" si="0"/>
        <v>07/04/2000</v>
      </c>
      <c r="M4" t="str">
        <f t="shared" si="1"/>
        <v>2000</v>
      </c>
    </row>
    <row r="5" spans="1:14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  <c r="L5" t="str">
        <f t="shared" si="0"/>
        <v>01/05/2000</v>
      </c>
      <c r="M5" t="str">
        <f t="shared" si="1"/>
        <v>2000</v>
      </c>
    </row>
    <row r="6" spans="1:14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  <c r="L6" t="str">
        <f t="shared" si="0"/>
        <v>05/06/2001</v>
      </c>
      <c r="M6" t="str">
        <f t="shared" si="1"/>
        <v>2001</v>
      </c>
    </row>
    <row r="7" spans="1:14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  <c r="L7" t="str">
        <f t="shared" si="0"/>
        <v>12/07/1995</v>
      </c>
      <c r="M7" t="str">
        <f t="shared" si="1"/>
        <v>1995</v>
      </c>
    </row>
    <row r="8" spans="1:14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  <c r="L8" t="str">
        <f t="shared" si="0"/>
        <v>11/08/2003</v>
      </c>
      <c r="M8" t="str">
        <f t="shared" si="1"/>
        <v>2003</v>
      </c>
    </row>
    <row r="9" spans="1:14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  <c r="L9" t="str">
        <f t="shared" si="0"/>
        <v>06/09/2002</v>
      </c>
      <c r="M9" t="str">
        <f t="shared" si="1"/>
        <v>2002</v>
      </c>
    </row>
    <row r="10" spans="1:14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  <c r="L10" t="str">
        <f t="shared" si="0"/>
        <v>08/10/2003</v>
      </c>
      <c r="M10" t="str">
        <f t="shared" si="1"/>
        <v>2003</v>
      </c>
    </row>
    <row r="12" spans="1:14" x14ac:dyDescent="0.35">
      <c r="H12" s="1"/>
    </row>
    <row r="13" spans="1:14" x14ac:dyDescent="0.35">
      <c r="H13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D1" zoomScale="78" workbookViewId="0">
      <selection activeCell="I14" sqref="I1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L12"/>
  <sheetViews>
    <sheetView topLeftCell="D1" zoomScale="118" workbookViewId="0">
      <selection activeCell="L5" sqref="L5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  <col min="12" max="12" width="25.26953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RIGHT(D2:D10,2)</f>
        <v>30</v>
      </c>
      <c r="L2" t="str">
        <f>CONCATENATE(B2:B10,".",C2:C10,"@gmail.com")</f>
        <v>Jim.Halpert@gmail.com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2" si="1">RIGHT(D3:D11,2)</f>
        <v>30</v>
      </c>
      <c r="L3" t="str">
        <f t="shared" ref="L3:L10" si="2">CONCATENATE(B3:B11,".",C3:C11,"@gmail.com")</f>
        <v>Pam.Beasley@gmail.com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29</v>
      </c>
      <c r="L4" t="str">
        <f t="shared" si="2"/>
        <v>Dwight.Schrute@gmail.com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31</v>
      </c>
      <c r="L5" t="str">
        <f t="shared" si="2"/>
        <v>Angela.Martin@gmail.com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32</v>
      </c>
      <c r="L6" t="str">
        <f t="shared" si="2"/>
        <v>Toby.Flenderson@gmail.com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35</v>
      </c>
      <c r="L7" t="str">
        <f t="shared" si="2"/>
        <v>Michael.Scott@gmail.com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32</v>
      </c>
      <c r="L8" t="str">
        <f t="shared" si="2"/>
        <v>Meredith.Palmer@gmail.com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38</v>
      </c>
      <c r="L9" t="str">
        <f t="shared" si="2"/>
        <v>Stanley.Hudson@gmail.com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31</v>
      </c>
      <c r="L10" t="str">
        <f t="shared" si="2"/>
        <v>Kevin.Malone@gmail.com</v>
      </c>
    </row>
    <row r="11" spans="1:12" x14ac:dyDescent="0.35">
      <c r="H11" t="str">
        <f t="shared" ref="H11:H12" si="3">CONCATENATE(B11," ",C11)</f>
        <v xml:space="preserve"> </v>
      </c>
      <c r="K11" t="str">
        <f t="shared" si="1"/>
        <v/>
      </c>
    </row>
    <row r="12" spans="1:12" x14ac:dyDescent="0.35">
      <c r="H12" t="str">
        <f t="shared" si="3"/>
        <v xml:space="preserve"> </v>
      </c>
      <c r="K12" t="str">
        <f t="shared" si="1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F1" workbookViewId="0">
      <selection activeCell="J12" sqref="J1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SUBSTITUTE(H2:H10,"/","-",2)</f>
        <v>11/2-2001</v>
      </c>
      <c r="K2" t="str">
        <f>SUBSTITUTE(H2:H10,"/","-")</f>
        <v>11-2-2001</v>
      </c>
      <c r="L2" t="str">
        <f>SUBSTITUTE(H2:H10,"-","/")</f>
        <v>11/2/2001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SUBSTITUTE(H3:H11,"/","-",2)</f>
        <v>10/3-1999</v>
      </c>
      <c r="K3" t="str">
        <f>SUBSTITUTE(H3:H11,"/","-")</f>
        <v>10-3-1999</v>
      </c>
      <c r="L3" t="str">
        <f>SUBSTITUTE(H3:H11,"-","/")</f>
        <v>10/3/1999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7/4-2000</v>
      </c>
      <c r="K4" t="str">
        <f>SUBSTITUTE(H4:H12,"/","-")</f>
        <v>7-4-2000</v>
      </c>
      <c r="L4" t="str">
        <f>SUBSTITUTE(H4:H12,"-","/")</f>
        <v>7/4/2000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89</v>
      </c>
      <c r="I5" s="2" t="s">
        <v>90</v>
      </c>
      <c r="J5" t="str">
        <f t="shared" si="0"/>
        <v>1-5-2000</v>
      </c>
      <c r="K5" t="str">
        <f>SUBSTITUTE(H5:H13,"/","-")</f>
        <v>1-5-2000</v>
      </c>
      <c r="L5" t="str">
        <f>SUBSTITUTE(H5:H13,"-","/")</f>
        <v>1/5/2000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5/6-2001</v>
      </c>
      <c r="K6" t="str">
        <f>SUBSTITUTE(H6:H14,"/","-")</f>
        <v>5-6-2001</v>
      </c>
      <c r="L6" t="str">
        <f>SUBSTITUTE(H6:H14,"-","/")</f>
        <v>5/6/2001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5/6-2001</v>
      </c>
      <c r="K7" t="str">
        <f>SUBSTITUTE(H7:H15,"/","-")</f>
        <v>5-6-2001</v>
      </c>
      <c r="L7" t="str">
        <f>SUBSTITUTE(H7:H15,"-","/")</f>
        <v>5/6/2001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11/8-2003</v>
      </c>
      <c r="K8" t="str">
        <f>SUBSTITUTE(H8:H16,"/","-")</f>
        <v>11-8-2003</v>
      </c>
      <c r="L8" t="str">
        <f>SUBSTITUTE(H8:H16,"-","/")</f>
        <v>11/8/2003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6/9-2002</v>
      </c>
      <c r="K9" t="str">
        <f>SUBSTITUTE(H9:H17,"/","-")</f>
        <v>6-9-2002</v>
      </c>
      <c r="L9" t="str">
        <f>SUBSTITUTE(H9:H17,"-","/")</f>
        <v>6/9/2002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8/10-2003</v>
      </c>
      <c r="K10" t="str">
        <f>SUBSTITUTE(H10:H18,"/","-")</f>
        <v>8-10-2003</v>
      </c>
      <c r="L10" t="str">
        <f>SUBSTITUTE(H10:H18,"-","/")</f>
        <v>8/10/2003</v>
      </c>
    </row>
    <row r="12" spans="1:12" x14ac:dyDescent="0.35">
      <c r="H12" s="2"/>
      <c r="I12" s="2"/>
    </row>
    <row r="13" spans="1:12" x14ac:dyDescent="0.35">
      <c r="H13" s="2"/>
      <c r="I13" s="2"/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4"/>
  <sheetViews>
    <sheetView topLeftCell="G1" workbookViewId="0">
      <selection activeCell="G14" sqref="G14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 )</f>
        <v>88000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4" spans="1:12" x14ac:dyDescent="0.35">
      <c r="G14">
        <f>SUMIFS(G2:G10,E2:E10,"Male",F2:F10,"Salesman")</f>
        <v>156000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3"/>
  <sheetViews>
    <sheetView zoomScale="113" workbookViewId="0">
      <selection activeCell="F13" sqref="F1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3" spans="1:12" x14ac:dyDescent="0.35">
      <c r="E13">
        <f>COUNTIF(E2:E10,"=Female")</f>
        <v>3</v>
      </c>
      <c r="F13">
        <f>COUNTIFS(A2:A10,"&gt;1003",G2:G10,"&gt;=50000")</f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2"/>
  <sheetViews>
    <sheetView tabSelected="1" topLeftCell="C1" workbookViewId="0">
      <selection activeCell="G15" sqref="G15"/>
    </sheetView>
  </sheetViews>
  <sheetFormatPr defaultRowHeight="14.5" x14ac:dyDescent="0.35"/>
  <cols>
    <col min="8" max="8" width="14.453125" customWidth="1"/>
    <col min="9" max="9" width="13.3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_xlfn.DAYS(I2:I10,H2:H10)</f>
        <v>5056</v>
      </c>
      <c r="K2">
        <f>NETWORKDAYS(H2,I2)</f>
        <v>3611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  <row r="12" spans="1:11" x14ac:dyDescent="0.35">
      <c r="G12">
        <f>AVERAGE(G2:G10)</f>
        <v>48555.555555555555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Priyanka Ghimire</cp:lastModifiedBy>
  <dcterms:created xsi:type="dcterms:W3CDTF">2021-12-16T14:18:34Z</dcterms:created>
  <dcterms:modified xsi:type="dcterms:W3CDTF">2026-04-02T15:20:46Z</dcterms:modified>
</cp:coreProperties>
</file>